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35b71bf57744be9" /></Relationships>
</file>

<file path=xl/workbook.xml><?xml version="1.0" encoding="utf-8"?>
<x:workbook xmlns:x="http://schemas.openxmlformats.org/spreadsheetml/2006/main">
  <x:sheets>
    <x:sheet xmlns:r="http://schemas.openxmlformats.org/officeDocument/2006/relationships" name="Audit" sheetId="1" r:id="R94a6e5b0c0e6449b"/>
    <x:sheet xmlns:r="http://schemas.openxmlformats.org/officeDocument/2006/relationships" name="Verified Sources" sheetId="2" r:id="R7e6154824e634f75"/>
    <x:sheet xmlns:r="http://schemas.openxmlformats.org/officeDocument/2006/relationships" name="Issues" sheetId="3" r:id="Rf2a817348a6f47bd"/>
    <x:sheet xmlns:r="http://schemas.openxmlformats.org/officeDocument/2006/relationships" name="Missing Citations" sheetId="4" r:id="Ra5f38968183b42f8"/>
    <x:sheet xmlns:r="http://schemas.openxmlformats.org/officeDocument/2006/relationships" name="Suggested Sources" sheetId="5" r:id="R7e578994a0714b4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i/>
      <x:sz val="11"/>
      <x:color rgb="FF1F2937"/>
      <x:name val="Carlito"/>
    </x:font>
    <x:font>
      <x:b/>
      <x:sz val="11"/>
      <x:color rgb="FFFFFFFF"/>
      <x:name val="Carlito"/>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17365D"/>
      </x:patternFill>
    </x:fill>
    <x:fill>
      <x:patternFill patternType="solid">
        <x:fgColor rgb="FFD9EAF7"/>
      </x:patternFill>
    </x:fill>
    <x:fill>
      <x:patternFill patternType="solid">
        <x:fgColor rgb="FF2F75B5"/>
      </x:patternFill>
    </x:fill>
  </x:fills>
  <x:borders count="1">
    <x:border/>
  </x:borders>
  <x:cellStyleXfs count="1">
    <x:xf numFmtId="0" fontId="0" fillId="0" borderId="0"/>
  </x:cellStyleXfs>
  <x:cellXfs count="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left"/>
    </x:xf>
    <x:xf numFmtId="0" fontId="1" fillId="5" borderId="0" xfId="0" applyNumberFormat="1" applyFont="1" applyFill="1" applyBorder="1" applyAlignment="1">
      <x:alignment horizontal="left" vertical="center"/>
    </x:xf>
    <x:xf numFmtId="0" fontId="0" fillId="6" borderId="0" xfId="0" applyNumberFormat="1" applyFont="1" applyFill="1" applyBorder="1"/>
    <x:xf numFmtId="0" fontId="2" fillId="6" borderId="0"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3" fillId="7" borderId="0" xfId="0" applyNumberFormat="1" applyFont="1" applyFill="1" applyBorder="1" applyAlignment="1">
      <x:alignment horizontal="center" vertical="center" wrapText="1"/>
    </x:xf>
    <x:xf numFmtId="0" fontId="3" fillId="7" xfId="0" applyNumberFormat="1" applyFont="1" applyFill="1" applyBorder="0" applyAlignment="1">
      <x:alignment horizontal="center" vertical="center" wrapText="1"/>
    </x:xf>
    <x:xf numFmtId="0" fontId="0" fillId="0" xfId="0" applyNumberFormat="1" applyFont="1" applyFill="1" applyBorder="0" applyAlignment="1">
      <x:alignment vertical="top" wrapText="1"/>
    </x:xf>
  </x:cellXfs>
  <x:cellStyles count="1">
    <x:cellStyle name="Normal" xfId="0"/>
  </x:cellStyles>
  <x:dxfs count="7">
    <x:dxf>
      <x:font>
        <x:color rgb="FF274E13"/>
      </x:font>
      <x:fill>
        <x:patternFill>
          <x:bgColor rgb="FFD9EAD3"/>
        </x:patternFill>
      </x:fill>
    </x:dxf>
    <x:dxf>
      <x:font>
        <x:color rgb="FF7F6000"/>
      </x:font>
      <x:fill>
        <x:patternFill>
          <x:bgColor rgb="FFFCE5CD"/>
        </x:patternFill>
      </x:fill>
    </x:dxf>
    <x:dxf>
      <x:font>
        <x:b/>
        <x:color rgb="FF990000"/>
      </x:font>
      <x:fill>
        <x:patternFill>
          <x:bgColor rgb="FFF4CCCC"/>
        </x:patternFill>
      </x:fill>
    </x:dxf>
    <x:dxf>
      <x:font>
        <x:color rgb="FF7F6000"/>
      </x:font>
      <x:fill>
        <x:patternFill>
          <x:bgColor rgb="FFFFF2CC"/>
        </x:patternFill>
      </x:fill>
    </x:dxf>
    <x:dxf>
      <x:font>
        <x:b/>
        <x:color rgb="FF990000"/>
      </x:font>
      <x:fill>
        <x:patternFill patternType="solid">
          <x:bgColor rgb="FFF4CCCC"/>
        </x:patternFill>
      </x:fill>
    </x:dxf>
    <x:dxf>
      <x:font>
        <x:color rgb="FF7F6000"/>
      </x:font>
      <x:fill>
        <x:patternFill patternType="solid">
          <x:bgColor rgb="FFFFF2CC"/>
        </x:patternFill>
      </x:fill>
    </x:dxf>
    <x:dxf>
      <x:font>
        <x:color rgb="FF274E13"/>
      </x:font>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eb0dbcdf7c041bc" /><Relationship Type="http://schemas.openxmlformats.org/officeDocument/2006/relationships/theme" Target="/xl/theme/theme1.xml" Id="Ra12ce3e2f3b249ab" /><Relationship Type="http://schemas.openxmlformats.org/officeDocument/2006/relationships/sharedStrings" Target="/xl/sharedStrings.xml" Id="Re5f17e1e0a204902" /><Relationship Type="http://schemas.openxmlformats.org/officeDocument/2006/relationships/worksheet" Target="/xl/worksheets/sheet1.xml" Id="R94a6e5b0c0e6449b" /><Relationship Type="http://schemas.openxmlformats.org/officeDocument/2006/relationships/worksheet" Target="/xl/worksheets/sheet2.xml" Id="R7e6154824e634f75" /><Relationship Type="http://schemas.openxmlformats.org/officeDocument/2006/relationships/worksheet" Target="/xl/worksheets/sheet3.xml" Id="Rf2a817348a6f47bd" /><Relationship Type="http://schemas.openxmlformats.org/officeDocument/2006/relationships/worksheet" Target="/xl/worksheets/sheet4.xml" Id="Ra5f38968183b42f8" /><Relationship Type="http://schemas.openxmlformats.org/officeDocument/2006/relationships/worksheet" Target="/xl/worksheets/sheet5.xml" Id="R7e578994a0714b4e" /></Relationships>
</file>

<file path=xl/tables/table1.xml><?xml version="1.0" encoding="utf-8"?>
<x:table xmlns:x="http://schemas.openxmlformats.org/spreadsheetml/2006/main" id="1" name="CitationAudit" displayName="CitationAudit" ref="A4:J19" headerRowCount="1" totalsRowCount="0" totalsRowShown="0">
  <x:tableColumns count="10">
    <x:tableColumn id="1" name="ID"/>
    <x:tableColumn id="2" name="Line"/>
    <x:tableColumn id="3" name="BibTeX key"/>
    <x:tableColumn id="4" name="Source"/>
    <x:tableColumn id="5" name="Verdict"/>
    <x:tableColumn id="6" name="Draft sentence"/>
    <x:tableColumn id="7" name="Supporting text"/>
    <x:tableColumn id="8" name="PDF locator"/>
    <x:tableColumn id="9" name="ArXiv link"/>
    <x:tableColumn id="10" name="Recommendation"/>
  </x:tableColumns>
  <x:tableStyleInfo name="TableStyleMedium2" showFirstColumn="0" showLastColumn="0" showRowStripes="1" showColumnStripes="0"/>
</x:table>
</file>

<file path=xl/tables/table2.xml><?xml version="1.0" encoding="utf-8"?>
<x:table xmlns:x="http://schemas.openxmlformats.org/spreadsheetml/2006/main" id="2" name="VerifiedSources" displayName="VerifiedSources" ref="A4:F12" headerRowCount="1" totalsRowCount="0" totalsRowShown="0">
  <x:tableColumns count="6">
    <x:tableColumn id="1" name="Source"/>
    <x:tableColumn id="2" name="BibTeX key(s)"/>
    <x:tableColumn id="3" name="Full APS/REVTeX reference"/>
    <x:tableColumn id="4" name="ArXiv link"/>
    <x:tableColumn id="5" name="Status"/>
    <x:tableColumn id="6" name="Metadata audit"/>
  </x:tableColumns>
  <x:tableStyleInfo name="TableStyleMedium2" showFirstColumn="0" showLastColumn="0" showRowStripes="1" showColumnStripes="0"/>
</x:table>
</file>

<file path=xl/tables/table3.xml><?xml version="1.0" encoding="utf-8"?>
<x:table xmlns:x="http://schemas.openxmlformats.org/spreadsheetml/2006/main" id="3" name="AuditIssues" displayName="AuditIssues" ref="A4:E9" headerRowCount="1" totalsRowCount="0" totalsRowShown="0">
  <x:tableColumns count="5">
    <x:tableColumn id="1" name="ID"/>
    <x:tableColumn id="2" name="Severity"/>
    <x:tableColumn id="3" name="BibTeX key"/>
    <x:tableColumn id="4" name="Finding"/>
    <x:tableColumn id="5" name="Required correction"/>
  </x:tableColumns>
  <x:tableStyleInfo name="TableStyleMedium2" showFirstColumn="0" showLastColumn="0" showRowStripes="1" showColumnStripes="0"/>
</x:table>
</file>

<file path=xl/tables/table4.xml><?xml version="1.0" encoding="utf-8"?>
<x:table xmlns:x="http://schemas.openxmlformats.org/spreadsheetml/2006/main" id="4" name="MissingCitations" displayName="MissingCitations" ref="A4:J27" headerRowCount="1" totalsRowCount="0" totalsRowShown="0">
  <x:tableColumns count="10">
    <x:tableColumn id="1" name="ID"/>
    <x:tableColumn id="2" name="Priority"/>
    <x:tableColumn id="3" name="Section"/>
    <x:tableColumn id="4" name="Line(s)"/>
    <x:tableColumn id="5" name="Claim needing support"/>
    <x:tableColumn id="6" name="Suggested placement"/>
    <x:tableColumn id="7" name="Recommended source"/>
    <x:tableColumn id="8" name="Link"/>
    <x:tableColumn id="9" name="Bibliography status"/>
    <x:tableColumn id="10" name="Action"/>
  </x:tableColumns>
  <x:tableStyleInfo name="TableStyleMedium2" showFirstColumn="0" showLastColumn="0" showRowStripes="1" showColumnStripes="0"/>
</x:table>
</file>

<file path=xl/tables/table5.xml><?xml version="1.0" encoding="utf-8"?>
<x:table xmlns:x="http://schemas.openxmlformats.org/spreadsheetml/2006/main" id="5" name="SuggestedSources" displayName="SuggestedSources" ref="A4:D12" headerRowCount="1" totalsRowCount="0" totalsRowShown="0">
  <x:tableColumns count="4">
    <x:tableColumn id="1" name="ID"/>
    <x:tableColumn id="2" name="Full APS/REVTeX reference"/>
    <x:tableColumn id="3" name="Source link"/>
    <x:tableColumn id="4" name="Best us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c040cc830f346c9" /></Relationships>
</file>

<file path=xl/worksheets/_rels/sheet2.xml.rels>&#65279;<?xml version="1.0" encoding="utf-8"?><Relationships xmlns="http://schemas.openxmlformats.org/package/2006/relationships"><Relationship Type="http://schemas.openxmlformats.org/officeDocument/2006/relationships/table" Target="/xl/tables/table2.xml" Id="R32b600eb7f6d4cc4" /></Relationships>
</file>

<file path=xl/worksheets/_rels/sheet3.xml.rels>&#65279;<?xml version="1.0" encoding="utf-8"?><Relationships xmlns="http://schemas.openxmlformats.org/package/2006/relationships"><Relationship Type="http://schemas.openxmlformats.org/officeDocument/2006/relationships/table" Target="/xl/tables/table3.xml" Id="R397f8a00aa6940e3" /></Relationships>
</file>

<file path=xl/worksheets/_rels/sheet4.xml.rels>&#65279;<?xml version="1.0" encoding="utf-8"?><Relationships xmlns="http://schemas.openxmlformats.org/package/2006/relationships"><Relationship Type="http://schemas.openxmlformats.org/officeDocument/2006/relationships/table" Target="/xl/tables/table4.xml" Id="R2a315c1efb5148fe" /></Relationships>
</file>

<file path=xl/worksheets/_rels/sheet5.xml.rels>&#65279;<?xml version="1.0" encoding="utf-8"?><Relationships xmlns="http://schemas.openxmlformats.org/package/2006/relationships"><Relationship Type="http://schemas.openxmlformats.org/officeDocument/2006/relationships/table" Target="/xl/tables/table5.xml" Id="Rcc16f943db25440f" /></Relationships>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8" hidden="0" customWidth="1"/>
    <x:col min="3" max="3" width="24" hidden="0" customWidth="1"/>
    <x:col min="4" max="4" width="10" hidden="0" customWidth="1"/>
    <x:col min="5" max="5" width="18" hidden="0" customWidth="1"/>
    <x:col min="6" max="6" width="56" hidden="0" customWidth="1"/>
    <x:col min="7" max="7" width="42" hidden="0" customWidth="1"/>
    <x:col min="8" max="8" width="24" hidden="0" customWidth="1"/>
    <x:col min="9" max="9" width="36" hidden="0" customWidth="1"/>
    <x:col min="10" max="10" width="42" hidden="0" customWidth="1"/>
  </x:cols>
  <x:sheetData>
    <x:row r="1" ht="28" customHeight="1">
      <x:c r="A1" s="14" t="str">
        <x:v>Citation Verification Audit</x:v>
      </x:c>
      <x:c r="B1" s="12"/>
      <x:c r="C1" s="12"/>
      <x:c r="D1" s="12"/>
      <x:c r="E1" s="12"/>
      <x:c r="F1" s="12"/>
      <x:c r="G1" s="12"/>
      <x:c r="H1" s="12"/>
      <x:c r="I1" s="12"/>
      <x:c r="J1" s="12"/>
    </x:row>
    <x:row r="2">
      <x:c r="A2" s="15" t="str">
        <x:v>Generated 2026-08-23 | 15 records | Filterable table below</x:v>
      </x:c>
      <x:c r="B2" s="12"/>
      <x:c r="C2" s="12"/>
      <x:c r="D2" s="12"/>
      <x:c r="E2" s="12"/>
      <x:c r="F2" s="12"/>
      <x:c r="G2" s="12"/>
      <x:c r="H2" s="12"/>
      <x:c r="I2" s="12"/>
      <x:c r="J2" s="12"/>
    </x:row>
    <x:row r="3">
      <x:c r="A3" s="12"/>
      <x:c r="B3" s="12"/>
      <x:c r="C3" s="12"/>
      <x:c r="D3" s="12"/>
      <x:c r="E3" s="12"/>
      <x:c r="F3" s="12"/>
      <x:c r="G3" s="12"/>
      <x:c r="H3" s="12"/>
      <x:c r="I3" s="12"/>
      <x:c r="J3" s="12"/>
    </x:row>
    <x:row r="4" ht="54" customHeight="1">
      <x:c r="A4" s="11" t="str">
        <x:v>ID</x:v>
      </x:c>
      <x:c r="B4" s="11" t="str">
        <x:v>Line</x:v>
      </x:c>
      <x:c r="C4" s="11" t="str">
        <x:v>BibTeX key</x:v>
      </x:c>
      <x:c r="D4" s="11" t="str">
        <x:v>Source</x:v>
      </x:c>
      <x:c r="E4" s="11" t="str">
        <x:v>Verdict</x:v>
      </x:c>
      <x:c r="F4" s="11" t="str">
        <x:v>Draft sentence</x:v>
      </x:c>
      <x:c r="G4" s="11" t="str">
        <x:v>Supporting text</x:v>
      </x:c>
      <x:c r="H4" s="11" t="str">
        <x:v>PDF locator</x:v>
      </x:c>
      <x:c r="I4" s="11" t="str">
        <x:v>ArXiv link</x:v>
      </x:c>
      <x:c r="J4" s="11" t="str">
        <x:v>Recommendation</x:v>
      </x:c>
    </x:row>
    <x:row r="5" ht="54" customHeight="1">
      <x:c r="A5" s="13" t="str">
        <x:v>C01</x:v>
      </x:c>
      <x:c r="B5" s="13" t="n">
        <x:v>170</x:v>
      </x:c>
      <x:c r="C5" s="13" t="str">
        <x:v>feng2019reionization</x:v>
      </x:c>
      <x:c r="D5" s="13" t="str">
        <x:v>S01</x:v>
      </x:c>
      <x:c r="E5" s="13" t="str">
        <x:v>Supported</x:v>
      </x:c>
      <x:c r="F5" s="13" t="str">
        <x:v>The end of reionization occurred within approximately the first billion years after the Big Bang, although the duration and topology of the transition depend on the abundance and radiative properties of the early sources.</x:v>
      </x:c>
      <x:c r="G5" s="13" t="str">
        <x:v>reionization ended approximately one billion years after the Big Bang</x:v>
      </x:c>
      <x:c r="H5" s="13" t="str">
        <x:v>p. 1; Abstract</x:v>
      </x:c>
      <x:c r="I5" s="13" t="str">
        <x:v>https://arxiv.org/abs/1907.06653</x:v>
      </x:c>
      <x:c r="J5" s="13" t="str">
        <x:v>No change required.</x:v>
      </x:c>
    </x:row>
    <x:row r="6" ht="54" customHeight="1">
      <x:c r="A6" s="13" t="str">
        <x:v>C02</x:v>
      </x:c>
      <x:c r="B6" s="13" t="n">
        <x:v>178</x:v>
      </x:c>
      <x:c r="C6" s="13" t="str">
        <x:v>feng2019reionization</x:v>
      </x:c>
      <x:c r="D6" s="13" t="str">
        <x:v>S01</x:v>
      </x:c>
      <x:c r="E6" s="13" t="str">
        <x:v>Supported</x:v>
      </x:c>
      <x:c r="F6" s="13" t="str">
        <x:v>This dependence is the physical motivation for introducing a clumping factor in reionization calculations.</x:v>
      </x:c>
      <x:c r="G6" s="13" t="str">
        <x:v>rate will be proportional to the product of the number density of protons and electrons</x:v>
      </x:c>
      <x:c r="H6" s="13" t="str">
        <x:v>p. 7; Sec. 2.3</x:v>
      </x:c>
      <x:c r="I6" s="13" t="str">
        <x:v>https://arxiv.org/abs/1907.06653</x:v>
      </x:c>
      <x:c r="J6" s="13" t="str">
        <x:v>No change required.</x:v>
      </x:c>
    </x:row>
    <x:row r="7" ht="54" customHeight="1">
      <x:c r="A7" s="13" t="str">
        <x:v>C03</x:v>
      </x:c>
      <x:c r="B7" s="13" t="n">
        <x:v>178</x:v>
      </x:c>
      <x:c r="C7" s="13" t="str">
        <x:v>davies2024clumping</x:v>
      </x:c>
      <x:c r="D7" s="13" t="str">
        <x:v>S02</x:v>
      </x:c>
      <x:c r="E7" s="13" t="str">
        <x:v>Partly supported</x:v>
      </x:c>
      <x:c r="F7" s="13" t="str">
        <x:v>This dependence is the physical motivation for introducing a clumping factor in reionization calculations.</x:v>
      </x:c>
      <x:c r="G7" s="13" t="str">
        <x:v>Defines the recombination clumping factor and its equilibrium role.</x:v>
      </x:c>
      <x:c r="H7" s="13" t="str">
        <x:v>p. 3; Sec. 2, Eqs. 5–6</x:v>
      </x:c>
      <x:c r="I7" s="13" t="str">
        <x:v>https://arxiv.org/abs/2406.18186</x:v>
      </x:c>
      <x:c r="J7" s="13" t="str">
        <x:v>Replace malformed key with corrected Davies record (S02).</x:v>
      </x:c>
    </x:row>
    <x:row r="8" ht="54" customHeight="1">
      <x:c r="A8" s="13" t="str">
        <x:v>C04</x:v>
      </x:c>
      <x:c r="B8" s="13" t="n">
        <x:v>195</x:v>
      </x:c>
      <x:c r="C8" s="13" t="str">
        <x:v>davies2024clumping</x:v>
      </x:c>
      <x:c r="D8" s="13" t="str">
        <x:v>S02</x:v>
      </x:c>
      <x:c r="E8" s="13" t="str">
        <x:v>Partly supported</x:v>
      </x:c>
      <x:c r="F8" s="13" t="str">
        <x:v>Davies et al. show that this distinction is also important when relating the clumping factor to the ionizing mean free path and photoionization rate.</x:v>
      </x:c>
      <x:c r="G8" s="13" t="str">
        <x:v>the exact definition varies considerably between different works</x:v>
      </x:c>
      <x:c r="H8" s="13" t="str">
        <x:v>p. 3; Sec. 2, Eqs. 6–8</x:v>
      </x:c>
      <x:c r="I8" s="13" t="str">
        <x:v>https://arxiv.org/abs/2406.18186</x:v>
      </x:c>
      <x:c r="J8" s="13" t="str">
        <x:v>Replace malformed key with corrected Davies record (S02).</x:v>
      </x:c>
    </x:row>
    <x:row r="9" ht="54" customHeight="1">
      <x:c r="A9" s="13" t="str">
        <x:v>C05</x:v>
      </x:c>
      <x:c r="B9" s="13" t="n">
        <x:v>197</x:v>
      </x:c>
      <x:c r="C9" s="13" t="str">
        <x:v>feng2019reionization</x:v>
      </x:c>
      <x:c r="D9" s="13" t="str">
        <x:v>S01</x:v>
      </x:c>
      <x:c r="E9" s="13" t="str">
        <x:v>Supported</x:v>
      </x:c>
      <x:c r="F9" s="13" t="str">
        <x:v>The reionization review literature often quotes values of order a few for simulation-based clumping factors during the epoch of reionization, but these values depend on redshift, resolution, the IGM definition, and whether the calculation is restricted to ionized gas.</x:v>
      </x:c>
      <x:c r="G9" s="13" t="str">
        <x:v>factor C ≈ 3–5 during EoR; various definitions</x:v>
      </x:c>
      <x:c r="H9" s="13" t="str">
        <x:v>p. 21; Sec. 4</x:v>
      </x:c>
      <x:c r="I9" s="13" t="str">
        <x:v>https://arxiv.org/abs/1907.06653</x:v>
      </x:c>
      <x:c r="J9" s="13" t="str">
        <x:v>Add a simulation-method source if resolution dependence is central.</x:v>
      </x:c>
    </x:row>
    <x:row r="10" ht="54" customHeight="1">
      <x:c r="A10" s="13" t="str">
        <x:v>C06</x:v>
      </x:c>
      <x:c r="B10" s="13" t="n">
        <x:v>197</x:v>
      </x:c>
      <x:c r="C10" s="13" t="str">
        <x:v>davies2024clumping</x:v>
      </x:c>
      <x:c r="D10" s="13" t="str">
        <x:v>S02</x:v>
      </x:c>
      <x:c r="E10" s="13" t="str">
        <x:v>Partly supported</x:v>
      </x:c>
      <x:c r="F10" s="13" t="str">
        <x:v>More recent analyses of the observed mean free path and photoionization rate infer larger effective global values under ionization-equilibrium assumptions.</x:v>
      </x:c>
      <x:c r="G10" s="13" t="str">
        <x:v>C ∼ 10–15; average C ≈ 12 at z = 5–6</x:v>
      </x:c>
      <x:c r="H10" s="13" t="str">
        <x:v>p. 5; Sec. 3.2</x:v>
      </x:c>
      <x:c r="I10" s="13" t="str">
        <x:v>https://arxiv.org/abs/2406.18186</x:v>
      </x:c>
      <x:c r="J10" s="13" t="str">
        <x:v>Replace malformed key with corrected Davies record (S02).</x:v>
      </x:c>
    </x:row>
    <x:row r="11" ht="54" customHeight="1">
      <x:c r="A11" s="13" t="str">
        <x:v>C07</x:v>
      </x:c>
      <x:c r="B11" s="13" t="n">
        <x:v>202</x:v>
      </x:c>
      <x:c r="C11" s="13" t="str">
        <x:v>vogelsberger2019simulations</x:v>
      </x:c>
      <x:c r="D11" s="13" t="str">
        <x:v>S03</x:v>
      </x:c>
      <x:c r="E11" s="13" t="str">
        <x:v>Supported</x:v>
      </x:c>
      <x:c r="F11" s="13" t="str">
        <x:v>The large-scale initial density field is usually established by a linear matter power spectrum, while the late-time distribution is obtained by solving the gravitational dynamics and, in hydrodynamical simulations, the equations governing gas flows and thermochemistry.</x:v>
      </x:c>
      <x:c r="G11" s="13" t="str">
        <x:v>Initial conditions specify perturbations through the matter power spectrum.</x:v>
      </x:c>
      <x:c r="H11" s="13" t="str">
        <x:v>p. 2; Sec. 2.2; Fig. 2 p. 9</x:v>
      </x:c>
      <x:c r="I11" s="13" t="str">
        <x:v>https://arxiv.org/abs/1909.07976</x:v>
      </x:c>
      <x:c r="J11" s="13" t="str">
        <x:v>No change required.</x:v>
      </x:c>
    </x:row>
    <x:row r="12" ht="54" customHeight="1">
      <x:c r="A12" s="13" t="str">
        <x:v>C08</x:v>
      </x:c>
      <x:c r="B12" s="13" t="n">
        <x:v>206</x:v>
      </x:c>
      <x:c r="C12" s="13" t="str">
        <x:v>garaldi2022thesan</x:v>
      </x:c>
      <x:c r="D12" s="13" t="str">
        <x:v>S04</x:v>
      </x:c>
      <x:c r="E12" s="13" t="str">
        <x:v>Partly supported</x:v>
      </x:c>
      <x:c r="F12" s="13" t="str">
        <x:v>The THESAN suite is a radiation-hydrodynamical set of simulations designed to model the sources, gas, and radiation field responsible for hydrogen reionization.</x:v>
      </x:c>
      <x:c r="G12" s="13" t="str">
        <x:v>radiation-magnetohydrodynamic simulations of the epoch of reionization</x:v>
      </x:c>
      <x:c r="H12" s="13" t="str">
        <x:v>p. 1; title and Abstract</x:v>
      </x:c>
      <x:c r="I12" s="13" t="str">
        <x:v>https://arxiv.org/abs/2110.00584</x:v>
      </x:c>
      <x:c r="J12" s="13" t="str">
        <x:v>Correct first author and arXiv ID in the BibTeX record.</x:v>
      </x:c>
    </x:row>
    <x:row r="13" ht="54" customHeight="1">
      <x:c r="A13" s="13" t="str">
        <x:v>C09</x:v>
      </x:c>
      <x:c r="B13" s="13" t="n">
        <x:v>208</x:v>
      </x:c>
      <x:c r="C13" s="13" t="str">
        <x:v>despali2025aidatng</x:v>
      </x:c>
      <x:c r="D13" s="13" t="str">
        <x:v>S05</x:v>
      </x:c>
      <x:c r="E13" s="13" t="str">
        <x:v>Partly supported</x:v>
      </x:c>
      <x:c r="F13" s="13" t="str">
        <x:v>Because the simulations use the same baryonic model and matched initial conditions across the different dark-matter scenarios, differences in the resulting density fields can be related more directly to the underlying dark-matter physics.</x:v>
      </x:c>
      <x:c r="G13" s="13" t="str">
        <x:v>fiducial IllustrisTNG galaxy formation model; WDM re-creates initial conditions using a suppressed spectrum.</x:v>
      </x:c>
      <x:c r="H13" s="13" t="str">
        <x:v>p. 1 Abstract; p. 3 Sec. 2.1</x:v>
      </x:c>
      <x:c r="I13" s="13" t="str">
        <x:v>https://arxiv.org/abs/2501.12439</x:v>
      </x:c>
      <x:c r="J13" s="13" t="str">
        <x:v>Qualify “matched initial conditions”; WDM transfer functions differ.</x:v>
      </x:c>
    </x:row>
    <x:row r="14" ht="54" customHeight="1">
      <x:c r="A14" s="13" t="str">
        <x:v>C10</x:v>
      </x:c>
      <x:c r="B14" s="13" t="n">
        <x:v>232</x:v>
      </x:c>
      <x:c r="C14" s="13" t="str">
        <x:v>irsic2024wdm</x:v>
      </x:c>
      <x:c r="D14" s="13" t="str">
        <x:v>S06</x:v>
      </x:c>
      <x:c r="E14" s="13" t="str">
        <x:v>Supported</x:v>
      </x:c>
      <x:c r="F14" s="13" t="str">
        <x:v>Current analyses generally place the lower bound on a thermal-relic WDM mass at several keV, with representative results ranging from roughly 3 to 6 keV depending on the data and assumptions about the thermal history.</x:v>
      </x:c>
      <x:c r="G14" s="13" t="str">
        <x:v>lower limits … of 5.7 keV (at 95% C.L.)</x:v>
      </x:c>
      <x:c r="H14" s="13" t="str">
        <x:v>p. 1 Abstract; p. 20 Conclusions</x:v>
      </x:c>
      <x:c r="I14" s="13" t="str">
        <x:v>https://arxiv.org/abs/2309.04533</x:v>
      </x:c>
      <x:c r="J14" s="13" t="str">
        <x:v>No change required.</x:v>
      </x:c>
    </x:row>
    <x:row r="15" ht="54" customHeight="1">
      <x:c r="A15" s="13" t="str">
        <x:v>C11</x:v>
      </x:c>
      <x:c r="B15" s="13" t="n">
        <x:v>232</x:v>
      </x:c>
      <x:c r="C15" s="13" t="str">
        <x:v>villasenor2022wdm</x:v>
      </x:c>
      <x:c r="D15" s="13" t="str">
        <x:v>S07</x:v>
      </x:c>
      <x:c r="E15" s="13" t="str">
        <x:v>Supported</x:v>
      </x:c>
      <x:c r="F15" s="13" t="str">
        <x:v>Current analyses generally place the lower bound on a thermal-relic WDM mass at several keV, with representative results ranging from roughly 3 to 6 keV depending on the data and assumptions about the thermal history.</x:v>
      </x:c>
      <x:c r="G15" s="13" t="str">
        <x:v>a lower limit m_WDM &gt; 3.1 keV (95 percent CL)</x:v>
      </x:c>
      <x:c r="H15" s="13" t="str">
        <x:v>p. 1 Abstract</x:v>
      </x:c>
      <x:c r="I15" s="13" t="str">
        <x:v>https://arxiv.org/abs/2209.14220</x:v>
      </x:c>
      <x:c r="J15" s="13" t="str">
        <x:v>Correct PRD article number/DOI in BibTeX.</x:v>
      </x:c>
    </x:row>
    <x:row r="16" ht="54" customHeight="1">
      <x:c r="A16" s="13" t="str">
        <x:v>C12</x:v>
      </x:c>
      <x:c r="B16" s="13" t="n">
        <x:v>237</x:v>
      </x:c>
      <x:c r="C16" s="13" t="str">
        <x:v>tulin2018sidm</x:v>
      </x:c>
      <x:c r="D16" s="13" t="str">
        <x:v>S08</x:v>
      </x:c>
      <x:c r="E16" s="13" t="str">
        <x:v>Supported</x:v>
      </x:c>
      <x:c r="F16" s="13" t="str">
        <x:v>Repeated scattering can redistribute energy within a halo, isotropize the velocity distribution, alter halo shapes, and produce central density cores or other changes in the inner density profile.</x:v>
      </x:c>
      <x:c r="G16" s="13" t="str">
        <x:v>rich dynamics for elastic scattering; standard isotropic interaction specified by σ/m</x:v>
      </x:c>
      <x:c r="H16" s="13" t="str">
        <x:v>p. 25, 35, 50; Secs. III–V</x:v>
      </x:c>
      <x:c r="I16" s="13" t="str">
        <x:v>https://arxiv.org/abs/1705.02358</x:v>
      </x:c>
      <x:c r="J16" s="13" t="str">
        <x:v>No change required.</x:v>
      </x:c>
    </x:row>
    <x:row r="17" ht="54" customHeight="1">
      <x:c r="A17" s="13" t="str">
        <x:v>C13</x:v>
      </x:c>
      <x:c r="B17" s="13" t="n">
        <x:v>251</x:v>
      </x:c>
      <x:c r="C17" s="13" t="str">
        <x:v>despali2025aidatng</x:v>
      </x:c>
      <x:c r="D17" s="13" t="str">
        <x:v>S05</x:v>
      </x:c>
      <x:c r="E17" s="13" t="str">
        <x:v>Supported</x:v>
      </x:c>
      <x:c r="F17" s="13" t="str">
        <x:v>The AIDA-TNG suite includes both a constant-cross-section SIDM model and a velocity-dependent model, alongside CDM and several thermal-relic WDM models.</x:v>
      </x:c>
      <x:c r="G17" s="13" t="str">
        <x:v>three WDM models … and two self-interacting dark matter scenarios</x:v>
      </x:c>
      <x:c r="H17" s="13" t="str">
        <x:v>p. 17 Conclusions; Table 1 p. 2</x:v>
      </x:c>
      <x:c r="I17" s="13" t="str">
        <x:v>https://arxiv.org/abs/2501.12439</x:v>
      </x:c>
      <x:c r="J17" s="13" t="str">
        <x:v>No change required.</x:v>
      </x:c>
    </x:row>
    <x:row r="18" ht="54" customHeight="1">
      <x:c r="A18" s="13" t="str">
        <x:v>C14</x:v>
      </x:c>
      <x:c r="B18" s="13" t="n">
        <x:v>447</x:v>
      </x:c>
      <x:c r="C18" s="13" t="str">
        <x:v>Davies_2026</x:v>
      </x:c>
      <x:c r="D18" s="13" t="str">
        <x:v>S02</x:v>
      </x:c>
      <x:c r="E18" s="13" t="str">
        <x:v>Supported</x:v>
      </x:c>
      <x:c r="F18" s="13" t="str">
        <x:v>Davies et al. provide one such approach.</x:v>
      </x:c>
      <x:c r="G18" s="13" t="str">
        <x:v>The paper estimates C from ionizing-background information and mean free path.</x:v>
      </x:c>
      <x:c r="H18" s="13" t="str">
        <x:v>p. 2; Sec. 1–2</x:v>
      </x:c>
      <x:c r="I18" s="13" t="str">
        <x:v>https://arxiv.org/abs/2406.18186</x:v>
      </x:c>
      <x:c r="J18" s="13" t="str">
        <x:v>Add arXiv metadata to the existing BibTeX record.</x:v>
      </x:c>
    </x:row>
    <x:row r="19" ht="54" customHeight="1">
      <x:c r="A19" s="13" t="str">
        <x:v>C15</x:v>
      </x:c>
      <x:c r="B19" s="13" t="n">
        <x:v>709</x:v>
      </x:c>
      <x:c r="C19" s="13" t="str">
        <x:v>garaldi2022thesan</x:v>
      </x:c>
      <x:c r="D19" s="13" t="str">
        <x:v>S04</x:v>
      </x:c>
      <x:c r="E19" s="13" t="str">
        <x:v>Partly supported</x:v>
      </x:c>
      <x:c r="F19" s="13" t="str">
        <x:v>THESAN therefore adopts this approximation to make the simulations computationally feasible, after demonstrating convergence of the neutral-fraction evolution at this value.</x:v>
      </x:c>
      <x:c r="G19" s="13" t="str">
        <x:v>Convergence on the evolution of the neutral fraction is achieved with a value of c-tilde = 0.2 c.</x:v>
      </x:c>
      <x:c r="H19" s="13" t="str">
        <x:v>p. 26; Appendix A, Fig. A1</x:v>
      </x:c>
      <x:c r="I19" s="13" t="str">
        <x:v>https://arxiv.org/abs/2110.00584</x:v>
      </x:c>
      <x:c r="J19" s="13" t="str">
        <x:v>Correct first author and arXiv ID in the BibTeX record.</x:v>
      </x:c>
    </x:row>
  </x:sheetData>
  <x:mergeCells>
    <x:mergeCell ref="A1:J1"/>
    <x:mergeCell ref="A2:J2"/>
  </x:mergeCells>
  <x:conditionalFormatting sqref="E5:E19">
    <x:cfRule type="containsText" dxfId="0" priority="1" operator="containsText" text="Supported"/>
    <x:cfRule type="containsText" dxfId="1" priority="2" operator="containsText" text="Partly"/>
  </x:conditionalFormatting>
  <x:pageMargins left="0.7" right="0.7" top="0.75" bottom="0.75" header="0.3" footer="0.3"/>
  <x:tableParts count="1">
    <x:tablePart xmlns:r="http://schemas.openxmlformats.org/officeDocument/2006/relationships" r:id="Rec040cc830f346c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100" hidden="0" customWidth="1"/>
    <x:col min="4" max="4" width="38" hidden="0" customWidth="1"/>
    <x:col min="5" max="5" width="16" hidden="0" customWidth="1"/>
    <x:col min="6" max="6" width="52" hidden="0" customWidth="1"/>
  </x:cols>
  <x:sheetData>
    <x:row r="1" ht="28" customHeight="1">
      <x:c r="A1" s="14" t="str">
        <x:v>Verified Source Index</x:v>
      </x:c>
      <x:c r="B1" s="12"/>
      <x:c r="C1" s="12"/>
      <x:c r="D1" s="12"/>
      <x:c r="E1" s="12"/>
      <x:c r="F1" s="12"/>
    </x:row>
    <x:row r="2">
      <x:c r="A2" s="15" t="str">
        <x:v>Generated 2026-08-23 | 8 records | Filterable table below</x:v>
      </x:c>
      <x:c r="B2" s="12"/>
      <x:c r="C2" s="12"/>
      <x:c r="D2" s="12"/>
      <x:c r="E2" s="12"/>
      <x:c r="F2" s="12"/>
    </x:row>
    <x:row r="3">
      <x:c r="A3" s="12"/>
      <x:c r="B3" s="12"/>
      <x:c r="C3" s="12"/>
      <x:c r="D3" s="12"/>
      <x:c r="E3" s="12"/>
      <x:c r="F3" s="12"/>
    </x:row>
    <x:row r="4" ht="54" customHeight="1">
      <x:c r="A4" s="11" t="str">
        <x:v>Source</x:v>
      </x:c>
      <x:c r="B4" s="11" t="str">
        <x:v>BibTeX key(s)</x:v>
      </x:c>
      <x:c r="C4" s="11" t="str">
        <x:v>Full APS/REVTeX reference</x:v>
      </x:c>
      <x:c r="D4" s="11" t="str">
        <x:v>ArXiv link</x:v>
      </x:c>
      <x:c r="E4" s="11" t="str">
        <x:v>Status</x:v>
      </x:c>
      <x:c r="F4" s="11" t="str">
        <x:v>Metadata audit</x:v>
      </x:c>
    </x:row>
    <x:row r="5" ht="54" customHeight="1">
      <x:c r="A5" s="13" t="str">
        <x:v>S01</x:v>
      </x:c>
      <x:c r="B5" s="13" t="str">
        <x:v>feng2019reionization</x:v>
      </x:c>
      <x:c r="C5" s="13" t="str">
        <x:v>J. H. Wise, An Introductory Review on Cosmic Reionization, Contemporary Physics 60, 145–167 (2019), doi:10.1080/00107514.2019.1631548.</x:v>
      </x:c>
      <x:c r="D5" s="13" t="str">
        <x:v>https://arxiv.org/abs/1907.06653</x:v>
      </x:c>
      <x:c r="E5" s="13" t="str">
        <x:v>Verified</x:v>
      </x:c>
      <x:c r="F5" s="13" t="str">
        <x:v>No material metadata issue.</x:v>
      </x:c>
    </x:row>
    <x:row r="6" ht="54" customHeight="1">
      <x:c r="A6" s="13" t="str">
        <x:v>S02</x:v>
      </x:c>
      <x:c r="B6" s="13" t="str">
        <x:v>Davies_2026 / intended replacement for davies2024clumping</x:v>
      </x:c>
      <x:c r="C6" s="13" t="str">
        <x:v>F. B. Davies, S. E. I. Bosman, and S. R. Furlanetto, The Predicament of Absorption-dominated Reionization. II. Observational Estimate of the Clumping Factor at the End of Reionization, The Astrophysical Journal 1005, 36 (2026), doi:10.3847/1538-4357/ae75b3.</x:v>
      </x:c>
      <x:c r="D6" s="13" t="str">
        <x:v>https://arxiv.org/abs/2406.18186</x:v>
      </x:c>
      <x:c r="E6" s="13" t="str">
        <x:v>Verified</x:v>
      </x:c>
      <x:c r="F6" s="13" t="str">
        <x:v>davies2024clumping is malformed; Davies_2026 needs arXiv fields.</x:v>
      </x:c>
    </x:row>
    <x:row r="7" ht="54" customHeight="1">
      <x:c r="A7" s="13" t="str">
        <x:v>S03</x:v>
      </x:c>
      <x:c r="B7" s="13" t="str">
        <x:v>vogelsberger2019simulations</x:v>
      </x:c>
      <x:c r="C7" s="13" t="str">
        <x:v>M. Vogelsberger, F. Marinacci, P. Torrey, and E. Puchwein, Cosmological Simulations of Galaxy Formation, Nature Reviews Physics 2, 42–66 (2020), doi:10.1038/s42254-019-0127-2.</x:v>
      </x:c>
      <x:c r="D7" s="13" t="str">
        <x:v>https://arxiv.org/abs/1909.07976</x:v>
      </x:c>
      <x:c r="E7" s="13" t="str">
        <x:v>Verified</x:v>
      </x:c>
      <x:c r="F7" s="13" t="str">
        <x:v>No material metadata issue.</x:v>
      </x:c>
    </x:row>
    <x:row r="8" ht="54" customHeight="1">
      <x:c r="A8" s="13" t="str">
        <x:v>S04</x:v>
      </x:c>
      <x:c r="B8" s="13" t="str">
        <x:v>garaldi2022thesan</x:v>
      </x:c>
      <x:c r="C8" s="13" t="str">
        <x:v>R. Kannan et al., Introducing the THESAN project: radiation-magnetohydrodynamic simulations of the epoch of reionization, MNRAS 511, 4005–4037 (2022), doi:10.1093/mnras/stac238.</x:v>
      </x:c>
      <x:c r="D8" s="13" t="str">
        <x:v>https://arxiv.org/abs/2110.00584</x:v>
      </x:c>
      <x:c r="E8" s="13" t="str">
        <x:v>Verified</x:v>
      </x:c>
      <x:c r="F8" s="13" t="str">
        <x:v>Current entry mixes this paper with Garaldi et al. arXiv:2110.01628.</x:v>
      </x:c>
    </x:row>
    <x:row r="9" ht="54" customHeight="1">
      <x:c r="A9" s="13" t="str">
        <x:v>S05</x:v>
      </x:c>
      <x:c r="B9" s="13" t="str">
        <x:v>despali2025aidatng</x:v>
      </x:c>
      <x:c r="C9" s="13" t="str">
        <x:v>G. Despali et al., Introducing the AIDA-TNG project: galaxy formation in alternative dark matter models, Astronomy &amp; Astrophysics 697, A213 (2025), doi:10.1051/0004-6361/202553836.</x:v>
      </x:c>
      <x:c r="D9" s="13" t="str">
        <x:v>https://arxiv.org/abs/2501.12439</x:v>
      </x:c>
      <x:c r="E9" s="13" t="str">
        <x:v>Verified</x:v>
      </x:c>
      <x:c r="F9" s="13" t="str">
        <x:v>No material metadata issue.</x:v>
      </x:c>
    </x:row>
    <x:row r="10" ht="54" customHeight="1">
      <x:c r="A10" s="13" t="str">
        <x:v>S06</x:v>
      </x:c>
      <x:c r="B10" s="13" t="str">
        <x:v>irsic2024wdm</x:v>
      </x:c>
      <x:c r="C10" s="13" t="str">
        <x:v>V. Iršič et al., Unveiling Dark Matter Free-streaming at the Smallest Scales with High-redshift Lyman-alpha Forest, Physical Review D 109, 043511 (2024), doi:10.1103/PhysRevD.109.043511.</x:v>
      </x:c>
      <x:c r="D10" s="13" t="str">
        <x:v>https://arxiv.org/abs/2309.04533</x:v>
      </x:c>
      <x:c r="E10" s="13" t="str">
        <x:v>Verified</x:v>
      </x:c>
      <x:c r="F10" s="13" t="str">
        <x:v>No material metadata issue.</x:v>
      </x:c>
    </x:row>
    <x:row r="11" ht="54" customHeight="1">
      <x:c r="A11" s="13" t="str">
        <x:v>S07</x:v>
      </x:c>
      <x:c r="B11" s="13" t="str">
        <x:v>villasenor2022wdm</x:v>
      </x:c>
      <x:c r="C11" s="13" t="str">
        <x:v>B. Villasenor et al., New Constraints on Warm Dark Matter from the Lyman-alpha Forest Power Spectrum, Physical Review D 108, 023502 (2023), doi:10.1103/PhysRevD.108.023502.</x:v>
      </x:c>
      <x:c r="D11" s="13" t="str">
        <x:v>https://arxiv.org/abs/2209.14220</x:v>
      </x:c>
      <x:c r="E11" s="13" t="str">
        <x:v>Verified</x:v>
      </x:c>
      <x:c r="F11" s="13" t="str">
        <x:v>Current article number and DOI are wrong.</x:v>
      </x:c>
    </x:row>
    <x:row r="12" ht="54" customHeight="1">
      <x:c r="A12" s="13" t="str">
        <x:v>S08</x:v>
      </x:c>
      <x:c r="B12" s="13" t="str">
        <x:v>tulin2018sidm</x:v>
      </x:c>
      <x:c r="C12" s="13" t="str">
        <x:v>S. Tulin and H.-B. Yu, Dark Matter Self-interactions and Small Scale Structure, Physics Reports 730, 1–57 (2018), doi:10.1016/j.physrep.2017.11.004.</x:v>
      </x:c>
      <x:c r="D12" s="13" t="str">
        <x:v>https://arxiv.org/abs/1705.02358</x:v>
      </x:c>
      <x:c r="E12" s="13" t="str">
        <x:v>Verified</x:v>
      </x:c>
      <x:c r="F12" s="13" t="str">
        <x:v>No material metadata issue.</x:v>
      </x:c>
    </x:row>
  </x:sheetData>
  <x:mergeCells>
    <x:mergeCell ref="A1:F1"/>
    <x:mergeCell ref="A2:F2"/>
  </x:mergeCells>
  <x:pageMargins left="0.7" right="0.7" top="0.75" bottom="0.75" header="0.3" footer="0.3"/>
  <x:tableParts count="1">
    <x:tablePart xmlns:r="http://schemas.openxmlformats.org/officeDocument/2006/relationships" r:id="R32b600eb7f6d4cc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4" hidden="0" customWidth="1"/>
    <x:col min="3" max="3" width="28" hidden="0" customWidth="1"/>
    <x:col min="4" max="4" width="80" hidden="0" customWidth="1"/>
    <x:col min="5" max="5" width="70" hidden="0" customWidth="1"/>
  </x:cols>
  <x:sheetData>
    <x:row r="1" ht="28" customHeight="1">
      <x:c r="A1" s="14" t="str">
        <x:v>Bibliography and Editorial Issues</x:v>
      </x:c>
      <x:c r="B1" s="12"/>
      <x:c r="C1" s="12"/>
      <x:c r="D1" s="12"/>
      <x:c r="E1" s="12"/>
    </x:row>
    <x:row r="2">
      <x:c r="A2" s="15" t="str">
        <x:v>Generated 2026-08-23 | 5 records | Filterable table below</x:v>
      </x:c>
      <x:c r="B2" s="12"/>
      <x:c r="C2" s="12"/>
      <x:c r="D2" s="12"/>
      <x:c r="E2" s="12"/>
    </x:row>
    <x:row r="3">
      <x:c r="A3" s="12"/>
      <x:c r="B3" s="12"/>
      <x:c r="C3" s="12"/>
      <x:c r="D3" s="12"/>
      <x:c r="E3" s="12"/>
    </x:row>
    <x:row r="4" ht="54" customHeight="1">
      <x:c r="A4" s="11" t="str">
        <x:v>ID</x:v>
      </x:c>
      <x:c r="B4" s="11" t="str">
        <x:v>Severity</x:v>
      </x:c>
      <x:c r="C4" s="11" t="str">
        <x:v>BibTeX key</x:v>
      </x:c>
      <x:c r="D4" s="11" t="str">
        <x:v>Finding</x:v>
      </x:c>
      <x:c r="E4" s="11" t="str">
        <x:v>Required correction</x:v>
      </x:c>
    </x:row>
    <x:row r="5" ht="54" customHeight="1">
      <x:c r="A5" s="13" t="str">
        <x:v>I01</x:v>
      </x:c>
      <x:c r="B5" s="13" t="str">
        <x:v>Major</x:v>
      </x:c>
      <x:c r="C5" s="13" t="str">
        <x:v>davies2024clumping</x:v>
      </x:c>
      <x:c r="D5" s="13" t="str">
        <x:v>Title/authors/DOI/year do not identify the paper linked by eprint 2406.18186.</x:v>
      </x:c>
      <x:c r="E5" s="13" t="str">
        <x:v>Replace the key with S02 or use corrected Davies_2026 with arXiv fields.</x:v>
      </x:c>
    </x:row>
    <x:row r="6" ht="54" customHeight="1">
      <x:c r="A6" s="13" t="str">
        <x:v>I02</x:v>
      </x:c>
      <x:c r="B6" s="13" t="str">
        <x:v>Major</x:v>
      </x:c>
      <x:c r="C6" s="13" t="str">
        <x:v>garaldi2022thesan</x:v>
      </x:c>
      <x:c r="D6" s="13" t="str">
        <x:v>Title/DOI correspond to Kannan et al.; eprint 2110.01628 corresponds to a different Garaldi et al. paper.</x:v>
      </x:c>
      <x:c r="E6" s="13" t="str">
        <x:v>Use Kannan et al. and arXiv:2110.00584.</x:v>
      </x:c>
    </x:row>
    <x:row r="7" ht="54" customHeight="1">
      <x:c r="A7" s="13" t="str">
        <x:v>I03</x:v>
      </x:c>
      <x:c r="B7" s="13" t="str">
        <x:v>Major</x:v>
      </x:c>
      <x:c r="C7" s="13" t="str">
        <x:v>villasenor2022wdm</x:v>
      </x:c>
      <x:c r="D7" s="13" t="str">
        <x:v>The published article is PRD 108, 023502 with DOI 10.1103/PhysRevD.108.023502, not 083529.</x:v>
      </x:c>
      <x:c r="E7" s="13" t="str">
        <x:v>Correct pages/article number and DOI.</x:v>
      </x:c>
    </x:row>
    <x:row r="8" ht="54" customHeight="1">
      <x:c r="A8" s="13" t="str">
        <x:v>I04</x:v>
      </x:c>
      <x:c r="B8" s="13" t="str">
        <x:v>Minor</x:v>
      </x:c>
      <x:c r="C8" s="13" t="str">
        <x:v>Davies_2026</x:v>
      </x:c>
      <x:c r="D8" s="13" t="str">
        <x:v>Valid publisher metadata but no eprint/archivePrefix fields.</x:v>
      </x:c>
      <x:c r="E8" s="13" t="str">
        <x:v>Add eprint = {2406.18186}; archivePrefix = {arXiv}.</x:v>
      </x:c>
    </x:row>
    <x:row r="9" ht="54" customHeight="1">
      <x:c r="A9" s="13" t="str">
        <x:v>I05</x:v>
      </x:c>
      <x:c r="B9" s="13" t="str">
        <x:v>Editorial</x:v>
      </x:c>
      <x:c r="C9" s="13" t="str">
        <x:v>despali2025aidatng</x:v>
      </x:c>
      <x:c r="D9" s="13" t="str">
        <x:v>The phrase “matched initial conditions across” is broader than the source supports for WDM, whose transfer spectrum is changed.</x:v>
      </x:c>
      <x:c r="E9" s="13" t="str">
        <x:v>Use “comparable volumes/initial phases while varying the dark-matter prescription.”</x:v>
      </x:c>
    </x:row>
  </x:sheetData>
  <x:mergeCells>
    <x:mergeCell ref="A1:E1"/>
    <x:mergeCell ref="A2:E2"/>
  </x:mergeCells>
  <x:conditionalFormatting sqref="B5:B9">
    <x:cfRule type="containsText" dxfId="2" priority="1" operator="containsText" text="Major"/>
    <x:cfRule type="containsText" dxfId="3" priority="2" operator="containsText" text="Minor"/>
  </x:conditionalFormatting>
  <x:pageMargins left="0.7" right="0.7" top="0.75" bottom="0.75" header="0.3" footer="0.3"/>
  <x:tableParts count="1">
    <x:tablePart xmlns:r="http://schemas.openxmlformats.org/officeDocument/2006/relationships" r:id="R397f8a00aa6940e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5" hidden="0" customWidth="1"/>
    <x:col min="3" max="3" width="28" hidden="0" customWidth="1"/>
    <x:col min="4" max="4" width="12" hidden="0" customWidth="1"/>
    <x:col min="5" max="5" width="56" hidden="0" customWidth="1"/>
    <x:col min="6" max="6" width="36" hidden="0" customWidth="1"/>
    <x:col min="7" max="7" width="40" hidden="0" customWidth="1"/>
    <x:col min="8" max="8" width="42" hidden="0" customWidth="1"/>
    <x:col min="9" max="9" width="27" hidden="0" customWidth="1"/>
    <x:col min="10" max="10" width="50" hidden="0" customWidth="1"/>
  </x:cols>
  <x:sheetData>
    <x:row r="1" ht="28" customHeight="1">
      <x:c r="A1" s="19" t="str">
        <x:v>Missing-Citation Recommendations</x:v>
      </x:c>
      <x:c r="B1" s="19"/>
      <x:c r="C1" s="19"/>
      <x:c r="D1" s="19"/>
      <x:c r="E1" s="19"/>
      <x:c r="F1" s="19"/>
      <x:c r="G1" s="19"/>
      <x:c r="H1" s="19"/>
      <x:c r="I1" s="19"/>
      <x:c r="J1" s="19"/>
    </x:row>
    <x:row r="2">
      <x:c r="A2" s="21" t="str">
        <x:v>23 claim-level recommendations | 20 required, 2 recommended, 1 optional | manuscript unchanged</x:v>
      </x:c>
    </x:row>
    <x:row r="4">
      <x:c r="A4" s="27" t="str">
        <x:v>ID</x:v>
      </x:c>
      <x:c r="B4" s="27" t="str">
        <x:v>Priority</x:v>
      </x:c>
      <x:c r="C4" s="27" t="str">
        <x:v>Section</x:v>
      </x:c>
      <x:c r="D4" s="27" t="str">
        <x:v>Line(s)</x:v>
      </x:c>
      <x:c r="E4" s="27" t="str">
        <x:v>Claim needing support</x:v>
      </x:c>
      <x:c r="F4" s="27" t="str">
        <x:v>Suggested placement</x:v>
      </x:c>
      <x:c r="G4" s="27" t="str">
        <x:v>Recommended source</x:v>
      </x:c>
      <x:c r="H4" s="27" t="str">
        <x:v>Link</x:v>
      </x:c>
      <x:c r="I4" s="27" t="str">
        <x:v>Bibliography status</x:v>
      </x:c>
      <x:c r="J4" s="27" t="str">
        <x:v>Action</x:v>
      </x:c>
    </x:row>
    <x:row r="5" ht="54" customHeight="1">
      <x:c r="A5" s="28" t="str">
        <x:v>MC01</x:v>
      </x:c>
      <x:c r="B5" s="28" t="str">
        <x:v>Required</x:v>
      </x:c>
      <x:c r="C5" s="28" t="str">
        <x:v>Introduction</x:v>
      </x:c>
      <x:c r="D5" s="28" t="str">
        <x:v>158</x:v>
      </x:c>
      <x:c r="E5" s="28" t="str">
        <x:v>Dark-matter evidence; large-scale Lambda-CDM success; and small-scale challenges.</x:v>
      </x:c>
      <x:c r="F5" s="28" t="str">
        <x:v>After the opening paragraph.</x:v>
      </x:c>
      <x:c r="G5" s="28" t="str">
        <x:v>N01 — Bullock &amp; Boylan-Kolchin (2017)</x:v>
      </x:c>
      <x:c r="H5" s="28" t="str">
        <x:v>https://arxiv.org/abs/1707.04256</x:v>
      </x:c>
      <x:c r="I5" s="28" t="str">
        <x:v>New source</x:v>
      </x:c>
      <x:c r="J5" s="28" t="str">
        <x:v>Qualify “cannot be explained” as unresolved small-scale challenges.</x:v>
      </x:c>
    </x:row>
    <x:row r="6" ht="54" customHeight="1">
      <x:c r="A6" s="28" t="str">
        <x:v>MC02</x:v>
      </x:c>
      <x:c r="B6" s="28" t="str">
        <x:v>Recommended</x:v>
      </x:c>
      <x:c r="C6" s="28" t="str">
        <x:v>Introduction</x:v>
      </x:c>
      <x:c r="D6" s="28" t="str">
        <x:v>160</x:v>
      </x:c>
      <x:c r="E6" s="28" t="str">
        <x:v>Power spectrum as the usual comparison observable and its clustering-amplitude definition.</x:v>
      </x:c>
      <x:c r="F6" s="28" t="str">
        <x:v>After the first sentence.</x:v>
      </x:c>
      <x:c r="G6" s="28" t="str">
        <x:v>S03 — Vogelsberger et al. (2020)</x:v>
      </x:c>
      <x:c r="H6" s="28" t="str">
        <x:v>https://arxiv.org/abs/1909.07976</x:v>
      </x:c>
      <x:c r="I6" s="28" t="str">
        <x:v>Existing key</x:v>
      </x:c>
      <x:c r="J6" s="28" t="str">
        <x:v>Cite vogelsberger2019simulations.</x:v>
      </x:c>
    </x:row>
    <x:row r="7" ht="54" customHeight="1">
      <x:c r="A7" s="28" t="str">
        <x:v>MC03</x:v>
      </x:c>
      <x:c r="B7" s="28" t="str">
        <x:v>Required</x:v>
      </x:c>
      <x:c r="C7" s="28" t="str">
        <x:v>Reionization / IGM</x:v>
      </x:c>
      <x:c r="D7" s="28" t="str">
        <x:v>183–192</x:v>
      </x:c>
      <x:c r="E7" s="28" t="str">
        <x:v>Density and recombination-weighted clumping-factor definitions; gas/volume selection.</x:v>
      </x:c>
      <x:c r="F7" s="28" t="str">
        <x:v>After the definition block.</x:v>
      </x:c>
      <x:c r="G7" s="28" t="str">
        <x:v>S01 + S02 — Wise (2019); Davies et al. (2026)</x:v>
      </x:c>
      <x:c r="H7" s="28" t="str">
        <x:v>https://arxiv.org/abs/1907.06653; https://arxiv.org/abs/2406.18186</x:v>
      </x:c>
      <x:c r="I7" s="28" t="str">
        <x:v>Existing, needs correction</x:v>
      </x:c>
      <x:c r="J7" s="28" t="str">
        <x:v>Use corrected Davies record.</x:v>
      </x:c>
    </x:row>
    <x:row r="8" ht="54" customHeight="1">
      <x:c r="A8" s="28" t="str">
        <x:v>MC04</x:v>
      </x:c>
      <x:c r="B8" s="28" t="str">
        <x:v>Required</x:v>
      </x:c>
      <x:c r="C8" s="28" t="str">
        <x:v>Simulations / density fields</x:v>
      </x:c>
      <x:c r="D8" s="28" t="str">
        <x:v>204</x:v>
      </x:c>
      <x:c r="E8" s="28" t="str">
        <x:v>Particle deposition, direct Voronoi use, and sensitivity to grid/mass assignment/smoothing.</x:v>
      </x:c>
      <x:c r="F8" s="28" t="str">
        <x:v>End of paragraph.</x:v>
      </x:c>
      <x:c r="G8" s="28" t="str">
        <x:v>N02 + N03 — Springel (2010); Jing (2005)</x:v>
      </x:c>
      <x:c r="H8" s="28" t="str">
        <x:v>https://arxiv.org/abs/0901.4107; https://arxiv.org/abs/astro-ph/0409240</x:v>
      </x:c>
      <x:c r="I8" s="28" t="str">
        <x:v>New sources</x:v>
      </x:c>
      <x:c r="J8" s="28" t="str">
        <x:v>Supports AREPO representation and FFT-grid systematics.</x:v>
      </x:c>
    </x:row>
    <x:row r="9" ht="54" customHeight="1">
      <x:c r="A9" s="28" t="str">
        <x:v>MC05</x:v>
      </x:c>
      <x:c r="B9" s="28" t="str">
        <x:v>Required</x:v>
      </x:c>
      <x:c r="C9" s="28" t="str">
        <x:v>Dark-matter background</x:v>
      </x:c>
      <x:c r="D9" s="28" t="str">
        <x:v>212–226</x:v>
      </x:c>
      <x:c r="E9" s="28" t="str">
        <x:v>CDM assumptions, hierarchical small-halo formation, and alternative-model scale dependence.</x:v>
      </x:c>
      <x:c r="F9" s="28" t="str">
        <x:v>After the CDM and small-scale comparison paragraphs.</x:v>
      </x:c>
      <x:c r="G9" s="28" t="str">
        <x:v>N01 + S05 — Bullock &amp; Boylan-Kolchin; Despali et al.</x:v>
      </x:c>
      <x:c r="H9" s="28" t="str">
        <x:v>https://arxiv.org/abs/1707.04256; https://arxiv.org/abs/2501.12439</x:v>
      </x:c>
      <x:c r="I9" s="28" t="str">
        <x:v>Mixed</x:v>
      </x:c>
      <x:c r="J9" s="28" t="str">
        <x:v>Use a review for broad CDM claims and AIDA-TNG for suite-specific context.</x:v>
      </x:c>
    </x:row>
    <x:row r="10" ht="54" customHeight="1">
      <x:c r="A10" s="28" t="str">
        <x:v>MC06</x:v>
      </x:c>
      <x:c r="B10" s="28" t="str">
        <x:v>Required</x:v>
      </x:c>
      <x:c r="C10" s="28" t="str">
        <x:v>Warm dark matter</x:v>
      </x:c>
      <x:c r="D10" s="28" t="str">
        <x:v>230</x:v>
      </x:c>
      <x:c r="E10" s="28" t="str">
        <x:v>WDM free streaming, high-k suppression, delayed low-mass halos, and lower dense-structure abundance.</x:v>
      </x:c>
      <x:c r="F10" s="28" t="str">
        <x:v>End of WDM-physics paragraph.</x:v>
      </x:c>
      <x:c r="G10" s="28" t="str">
        <x:v>S06 + S05 — Iršič et al.; Despali et al.</x:v>
      </x:c>
      <x:c r="H10" s="28" t="str">
        <x:v>https://arxiv.org/abs/2309.04533; https://arxiv.org/abs/2501.12439</x:v>
      </x:c>
      <x:c r="I10" s="28" t="str">
        <x:v>Existing keys</x:v>
      </x:c>
      <x:c r="J10" s="28" t="str">
        <x:v>Complements the observational-constraint citation at line 232.</x:v>
      </x:c>
    </x:row>
    <x:row r="11" ht="54" customHeight="1">
      <x:c r="A11" s="28" t="str">
        <x:v>MC07</x:v>
      </x:c>
      <x:c r="B11" s="28" t="str">
        <x:v>Required</x:v>
      </x:c>
      <x:c r="C11" s="28" t="str">
        <x:v>SIDM comparison</x:v>
      </x:c>
      <x:c r="D11" s="28" t="str">
        <x:v>239</x:v>
      </x:c>
      <x:c r="E11" s="28" t="str">
        <x:v>WDM/FDM initial-power effects versus SIDM halo-structure effects; baryonic dependence.</x:v>
      </x:c>
      <x:c r="F11" s="28" t="str">
        <x:v>End of paragraph.</x:v>
      </x:c>
      <x:c r="G11" s="28" t="str">
        <x:v>S08 + N04 — Tulin &amp; Yu; Ferreira</x:v>
      </x:c>
      <x:c r="H11" s="28" t="str">
        <x:v>https://arxiv.org/abs/1705.02358; https://arxiv.org/abs/1912.03148</x:v>
      </x:c>
      <x:c r="I11" s="28" t="str">
        <x:v>Existing key + unused key</x:v>
      </x:c>
      <x:c r="J11" s="28" t="str">
        <x:v>Activate marsh2021ultralight for FDM.</x:v>
      </x:c>
    </x:row>
    <x:row r="12" ht="54" customHeight="1">
      <x:c r="A12" s="28" t="str">
        <x:v>MC08</x:v>
      </x:c>
      <x:c r="B12" s="28" t="str">
        <x:v>Required</x:v>
      </x:c>
      <x:c r="C12" s="28" t="str">
        <x:v>Velocity-dependent SIDM</x:v>
      </x:c>
      <x:c r="D12" s="28" t="str">
        <x:v>245–249</x:v>
      </x:c>
      <x:c r="E12" s="28" t="str">
        <x:v>Velocity-dependent SIDM stronger in dwarfs and weaker in clusters.</x:v>
      </x:c>
      <x:c r="F12" s="28" t="str">
        <x:v>After the second sentence of the vSIDM paragraph.</x:v>
      </x:c>
      <x:c r="G12" s="28" t="str">
        <x:v>S05 — Despali et al.</x:v>
      </x:c>
      <x:c r="H12" s="28" t="str">
        <x:v>https://arxiv.org/abs/2501.12439</x:v>
      </x:c>
      <x:c r="I12" s="28" t="str">
        <x:v>Existing key</x:v>
      </x:c>
      <x:c r="J12" s="28" t="str">
        <x:v>Suite source describes this prescription.</x:v>
      </x:c>
    </x:row>
    <x:row r="13" ht="54" customHeight="1">
      <x:c r="A13" s="28" t="str">
        <x:v>MC09</x:v>
      </x:c>
      <x:c r="B13" s="28" t="str">
        <x:v>Recommended</x:v>
      </x:c>
      <x:c r="C13" s="28" t="str">
        <x:v>Connection to this work</x:v>
      </x:c>
      <x:c r="D13" s="28" t="str">
        <x:v>255–257</x:v>
      </x:c>
      <x:c r="E13" s="28" t="str">
        <x:v>Synthesis that WDM, SIDM, and vSIDM alter density fields through different mechanisms.</x:v>
      </x:c>
      <x:c r="F13" s="28" t="str">
        <x:v>End of first paragraph.</x:v>
      </x:c>
      <x:c r="G13" s="28" t="str">
        <x:v>S05 + S08 — Despali et al.; Tulin &amp; Yu</x:v>
      </x:c>
      <x:c r="H13" s="28" t="str">
        <x:v>https://arxiv.org/abs/2501.12439; https://arxiv.org/abs/1705.02358</x:v>
      </x:c>
      <x:c r="I13" s="28" t="str">
        <x:v>Existing keys</x:v>
      </x:c>
      <x:c r="J13" s="28" t="str">
        <x:v>One consolidated citation is sufficient.</x:v>
      </x:c>
    </x:row>
    <x:row r="14" ht="54" customHeight="1">
      <x:c r="A14" s="28" t="str">
        <x:v>MC10</x:v>
      </x:c>
      <x:c r="B14" s="28" t="str">
        <x:v>Required</x:v>
      </x:c>
      <x:c r="C14" s="28" t="str">
        <x:v>Methodology: density field</x:v>
      </x:c>
      <x:c r="D14" s="28" t="str">
        <x:v>266–274</x:v>
      </x:c>
      <x:c r="E14" s="28" t="str">
        <x:v>CIC mass assignment, grid artifacts, and particle-field smoothing.</x:v>
      </x:c>
      <x:c r="F14" s="28" t="str">
        <x:v>After CIC/smoothing discussion.</x:v>
      </x:c>
      <x:c r="G14" s="28" t="str">
        <x:v>N03 — Jing (2005)</x:v>
      </x:c>
      <x:c r="H14" s="28" t="str">
        <x:v>https://arxiv.org/abs/astro-ph/0409240</x:v>
      </x:c>
      <x:c r="I14" s="28" t="str">
        <x:v>New source</x:v>
      </x:c>
      <x:c r="J14" s="28" t="str">
        <x:v>Direct method source for CIC window and aliasing.</x:v>
      </x:c>
    </x:row>
    <x:row r="15" ht="54" customHeight="1">
      <x:c r="A15" s="28" t="str">
        <x:v>MC11</x:v>
      </x:c>
      <x:c r="B15" s="28" t="str">
        <x:v>Required</x:v>
      </x:c>
      <x:c r="C15" s="28" t="str">
        <x:v>Methodology: density field</x:v>
      </x:c>
      <x:c r="D15" s="28" t="str">
        <x:v>276–277</x:v>
      </x:c>
      <x:c r="E15" s="28" t="str">
        <x:v>Use of Pylians for spherical smoothing.</x:v>
      </x:c>
      <x:c r="F15" s="28" t="str">
        <x:v>Immediately after “Pylians”.</x:v>
      </x:c>
      <x:c r="G15" s="28" t="str">
        <x:v>N05 — Pylians ASCL</x:v>
      </x:c>
      <x:c r="H15" s="28" t="str">
        <x:v>https://pylians3.readthedocs.io/en/master/citation.html</x:v>
      </x:c>
      <x:c r="I15" s="28" t="str">
        <x:v>New source</x:v>
      </x:c>
      <x:c r="J15" s="28" t="str">
        <x:v>Use the software’s requested citation.</x:v>
      </x:c>
    </x:row>
    <x:row r="16" ht="54" customHeight="1">
      <x:c r="A16" s="28" t="str">
        <x:v>MC12</x:v>
      </x:c>
      <x:c r="B16" s="28" t="str">
        <x:v>Required</x:v>
      </x:c>
      <x:c r="C16" s="28" t="str">
        <x:v>Methodology: IGM</x:v>
      </x:c>
      <x:c r="D16" s="28" t="str">
        <x:v>279–286</x:v>
      </x:c>
      <x:c r="E16" s="28" t="str">
        <x:v>Physical IGM selection, overdensity masking, and ionization thresholds.</x:v>
      </x:c>
      <x:c r="F16" s="28" t="str">
        <x:v>After mask-definition paragraph.</x:v>
      </x:c>
      <x:c r="G16" s="28" t="str">
        <x:v>S02 + N06 — Davies et al.; Rahmati et al.</x:v>
      </x:c>
      <x:c r="H16" s="28" t="str">
        <x:v>https://arxiv.org/abs/2406.18186; https://arxiv.org/abs/1210.7808</x:v>
      </x:c>
      <x:c r="I16" s="28" t="str">
        <x:v>Existing + new</x:v>
      </x:c>
      <x:c r="J16" s="28" t="str">
        <x:v>Distinguish the chosen thresholds from their physical rationale.</x:v>
      </x:c>
    </x:row>
    <x:row r="17" ht="54" customHeight="1">
      <x:c r="A17" s="28" t="str">
        <x:v>MC13</x:v>
      </x:c>
      <x:c r="B17" s="28" t="str">
        <x:v>Required</x:v>
      </x:c>
      <x:c r="C17" s="28" t="str">
        <x:v>Methodology: power spectrum</x:v>
      </x:c>
      <x:c r="D17" s="28" t="str">
        <x:v>289–295</x:v>
      </x:c>
      <x:c r="E17" s="28" t="str">
        <x:v>FFT power-spectrum estimator, k-shell averaging, and grid/assignment effects.</x:v>
      </x:c>
      <x:c r="F17" s="28" t="str">
        <x:v>After introductory power-spectrum paragraph.</x:v>
      </x:c>
      <x:c r="G17" s="28" t="str">
        <x:v>N03 — Jing (2005)</x:v>
      </x:c>
      <x:c r="H17" s="28" t="str">
        <x:v>https://arxiv.org/abs/astro-ph/0409240</x:v>
      </x:c>
      <x:c r="I17" s="28" t="str">
        <x:v>New source</x:v>
      </x:c>
      <x:c r="J17" s="28" t="str">
        <x:v>Also supports subsequent CIC-window discussion.</x:v>
      </x:c>
    </x:row>
    <x:row r="18" ht="54" customHeight="1">
      <x:c r="A18" s="28" t="str">
        <x:v>MC14</x:v>
      </x:c>
      <x:c r="B18" s="28" t="str">
        <x:v>Required</x:v>
      </x:c>
      <x:c r="C18" s="28" t="str">
        <x:v>Methodology: power spectrum</x:v>
      </x:c>
      <x:c r="D18" s="28" t="str">
        <x:v>300–304</x:v>
      </x:c>
      <x:c r="E18" s="28" t="str">
        <x:v>Spatial folding to extend high-k range; normalization and overlap validation.</x:v>
      </x:c>
      <x:c r="F18" s="28" t="str">
        <x:v>After folding paragraph.</x:v>
      </x:c>
      <x:c r="G18" s="28" t="str">
        <x:v>N07 — Colombi et al. (2009)</x:v>
      </x:c>
      <x:c r="H18" s="28" t="str">
        <x:v>https://arxiv.org/abs/0811.0313</x:v>
      </x:c>
      <x:c r="I18" s="28" t="str">
        <x:v>New source</x:v>
      </x:c>
      <x:c r="J18" s="28" t="str">
        <x:v>Folding paper explicitly discusses controlled high-k dynamic range.</x:v>
      </x:c>
    </x:row>
    <x:row r="19" ht="54" customHeight="1">
      <x:c r="A19" s="28" t="str">
        <x:v>MC15</x:v>
      </x:c>
      <x:c r="B19" s="28" t="str">
        <x:v>Required</x:v>
      </x:c>
      <x:c r="C19" s="28" t="str">
        <x:v>Methodology: mean free path</x:v>
      </x:c>
      <x:c r="D19" s="28" t="str">
        <x:v>309–319</x:v>
      </x:c>
      <x:c r="E19" s="28" t="str">
        <x:v>Mean-free-path interpretation, tau=1 convention, X=0.76, and sigma_912.</x:v>
      </x:c>
      <x:c r="F19" s="28" t="str">
        <x:v>After mean-free-path derivation.</x:v>
      </x:c>
      <x:c r="G19" s="28" t="str">
        <x:v>S02 + N08 — Davies et al.; Verner et al.</x:v>
      </x:c>
      <x:c r="H19" s="28" t="str">
        <x:v>https://arxiv.org/abs/2406.18186; https://doi.org/10.1006/adnd.1996.0001</x:v>
      </x:c>
      <x:c r="I19" s="28" t="str">
        <x:v>Existing + new</x:v>
      </x:c>
      <x:c r="J19" s="28" t="str">
        <x:v>Label X=0.76 as a THESAN/input assumption if applicable.</x:v>
      </x:c>
    </x:row>
    <x:row r="20" ht="54" customHeight="1">
      <x:c r="A20" s="28" t="str">
        <x:v>MC16</x:v>
      </x:c>
      <x:c r="B20" s="28" t="str">
        <x:v>Required</x:v>
      </x:c>
      <x:c r="C20" s="28" t="str">
        <x:v>Methodology: photoionization rate</x:v>
      </x:c>
      <x:c r="D20" s="28" t="str">
        <x:v>322–353</x:v>
      </x:c>
      <x:c r="E20" s="28" t="str">
        <x:v>Photoionization-rate integral, three-group approximation, and group-averaged cross sections.</x:v>
      </x:c>
      <x:c r="F20" s="28" t="str">
        <x:v>After group approximation and coefficient list.</x:v>
      </x:c>
      <x:c r="G20" s="28" t="str">
        <x:v>S04 + N08 — Kannan et al.; Verner et al.</x:v>
      </x:c>
      <x:c r="H20" s="28" t="str">
        <x:v>https://arxiv.org/abs/2110.00584; https://doi.org/10.1006/adnd.1996.0001</x:v>
      </x:c>
      <x:c r="I20" s="28" t="str">
        <x:v>Existing, needs correction + new</x:v>
      </x:c>
      <x:c r="J20" s="28" t="str">
        <x:v>Also cite project configuration/data documentation if coefficients are pipeline constants.</x:v>
      </x:c>
    </x:row>
    <x:row r="21" ht="54" customHeight="1">
      <x:c r="A21" s="28" t="str">
        <x:v>MC17</x:v>
      </x:c>
      <x:c r="B21" s="28" t="str">
        <x:v>Required</x:v>
      </x:c>
      <x:c r="C21" s="28" t="str">
        <x:v>Numerical validation</x:v>
      </x:c>
      <x:c r="D21" s="28" t="str">
        <x:v>368–397</x:v>
      </x:c>
      <x:c r="E21" s="28" t="str">
        <x:v>THESAN particle counts; Pylians as established software; external method claims.</x:v>
      </x:c>
      <x:c r="F21" s="28" t="str">
        <x:v>After N values and “Pylians”.</x:v>
      </x:c>
      <x:c r="G21" s="28" t="str">
        <x:v>S04 + N05 — Kannan et al.; Pylians ASCL</x:v>
      </x:c>
      <x:c r="H21" s="28" t="str">
        <x:v>https://arxiv.org/abs/2110.00584; https://pylians3.readthedocs.io/en/master/citation.html</x:v>
      </x:c>
      <x:c r="I21" s="28" t="str">
        <x:v>Existing, needs correction + new</x:v>
      </x:c>
      <x:c r="J21" s="28" t="str">
        <x:v>Do not cite figure-specific findings.</x:v>
      </x:c>
    </x:row>
    <x:row r="22" ht="54" customHeight="1">
      <x:c r="A22" s="28" t="str">
        <x:v>MC18</x:v>
      </x:c>
      <x:c r="B22" s="28" t="str">
        <x:v>Required</x:v>
      </x:c>
      <x:c r="C22" s="28" t="str">
        <x:v>Power-spectrum validation</x:v>
      </x:c>
      <x:c r="D22" s="28" t="str">
        <x:v>415–422</x:v>
      </x:c>
      <x:c r="E22" s="28" t="str">
        <x:v>CIC-window suppression and deconvolution amplifying high-k noise/aliasing.</x:v>
      </x:c>
      <x:c r="F22" s="28" t="str">
        <x:v>After each explanatory paragraph.</x:v>
      </x:c>
      <x:c r="G22" s="28" t="str">
        <x:v>N03 — Jing (2005)</x:v>
      </x:c>
      <x:c r="H22" s="28" t="str">
        <x:v>https://arxiv.org/abs/astro-ph/0409240</x:v>
      </x:c>
      <x:c r="I22" s="28" t="str">
        <x:v>New source</x:v>
      </x:c>
      <x:c r="J22" s="28" t="str">
        <x:v>Supports the numerical interpretation.</x:v>
      </x:c>
    </x:row>
    <x:row r="23" ht="54" customHeight="1">
      <x:c r="A23" s="28" t="str">
        <x:v>MC19</x:v>
      </x:c>
      <x:c r="B23" s="28" t="str">
        <x:v>Required</x:v>
      </x:c>
      <x:c r="C23" s="28" t="str">
        <x:v>Application I: estimator 1</x:v>
      </x:c>
      <x:c r="D23" s="28" t="str">
        <x:v>489–535</x:v>
      </x:c>
      <x:c r="E23" s="28" t="str">
        <x:v>Davies ionization-equilibrium estimator, mean-free-path approximation, and derived equations.</x:v>
      </x:c>
      <x:c r="F23" s="28" t="str">
        <x:v>Subsection opening and after the estimator equation.</x:v>
      </x:c>
      <x:c r="G23" s="28" t="str">
        <x:v>S02 — Davies et al. (2026)</x:v>
      </x:c>
      <x:c r="H23" s="28" t="str">
        <x:v>https://arxiv.org/abs/2406.18186</x:v>
      </x:c>
      <x:c r="I23" s="28" t="str">
        <x:v>Existing, needs correction</x:v>
      </x:c>
      <x:c r="J23" s="28" t="str">
        <x:v>Line-447 citation is too distant for borrowed displayed equations.</x:v>
      </x:c>
    </x:row>
    <x:row r="24" ht="54" customHeight="1">
      <x:c r="A24" s="28" t="str">
        <x:v>MC20</x:v>
      </x:c>
      <x:c r="B24" s="28" t="str">
        <x:v>Required</x:v>
      </x:c>
      <x:c r="C24" s="28" t="str">
        <x:v>Application I: estimator 2</x:v>
      </x:c>
      <x:c r="D24" s="28" t="str">
        <x:v>542–573</x:v>
      </x:c>
      <x:c r="E24" s="28" t="str">
        <x:v>Davies photon-density closure, Gamma_gamma=c/lambda_mfp, and derived equations.</x:v>
      </x:c>
      <x:c r="F24" s="28" t="str">
        <x:v>Subsection opening and after final estimator.</x:v>
      </x:c>
      <x:c r="G24" s="28" t="str">
        <x:v>S02 — Davies et al. (2026)</x:v>
      </x:c>
      <x:c r="H24" s="28" t="str">
        <x:v>https://arxiv.org/abs/2406.18186</x:v>
      </x:c>
      <x:c r="I24" s="28" t="str">
        <x:v>Existing, needs correction</x:v>
      </x:c>
      <x:c r="J24" s="28" t="str">
        <x:v>Repeat source at equation introduction.</x:v>
      </x:c>
    </x:row>
    <x:row r="25" ht="54" customHeight="1">
      <x:c r="A25" s="28" t="str">
        <x:v>MC21</x:v>
      </x:c>
      <x:c r="B25" s="28" t="str">
        <x:v>Required</x:v>
      </x:c>
      <x:c r="C25" s="28" t="str">
        <x:v>Application II</x:v>
      </x:c>
      <x:c r="D25" s="28" t="str">
        <x:v>615–630</x:v>
      </x:c>
      <x:c r="E25" s="28" t="str">
        <x:v>AIDA-TNG model comparison and suite-specific CDM/WDM/SIDM/vSIDM claims.</x:v>
      </x:c>
      <x:c r="F25" s="28" t="str">
        <x:v>Application II introduction.</x:v>
      </x:c>
      <x:c r="G25" s="28" t="str">
        <x:v>S05 — Despali et al. (2025)</x:v>
      </x:c>
      <x:c r="H25" s="28" t="str">
        <x:v>https://arxiv.org/abs/2501.12439</x:v>
      </x:c>
      <x:c r="I25" s="28" t="str">
        <x:v>Existing key</x:v>
      </x:c>
      <x:c r="J25" s="28" t="str">
        <x:v>Replace the current citation placeholder with this source.</x:v>
      </x:c>
    </x:row>
    <x:row r="26" ht="54" customHeight="1">
      <x:c r="A26" s="28" t="str">
        <x:v>MC22</x:v>
      </x:c>
      <x:c r="B26" s="28" t="str">
        <x:v>Required</x:v>
      </x:c>
      <x:c r="C26" s="28" t="str">
        <x:v>AIDA-TNG gridding appendix</x:v>
      </x:c>
      <x:c r="D26" s="28" t="str">
        <x:v>702–727</x:v>
      </x:c>
      <x:c r="E26" s="28" t="str">
        <x:v>AIDA-TNG particle/Voronoi representation and SubfindHsml meaning.</x:v>
      </x:c>
      <x:c r="F26" s="28" t="str">
        <x:v>After opening appendix paragraph.</x:v>
      </x:c>
      <x:c r="G26" s="28" t="str">
        <x:v>S05 + N02 — Despali et al.; Springel</x:v>
      </x:c>
      <x:c r="H26" s="28" t="str">
        <x:v>https://arxiv.org/abs/2501.12439; https://arxiv.org/abs/0901.4107</x:v>
      </x:c>
      <x:c r="I26" s="28" t="str">
        <x:v>Existing + new</x:v>
      </x:c>
      <x:c r="J26" s="28" t="str">
        <x:v>Cite both suite/data context and moving-mesh method.</x:v>
      </x:c>
    </x:row>
    <x:row r="27" ht="54" customHeight="1">
      <x:c r="A27" s="28" t="str">
        <x:v>MC23</x:v>
      </x:c>
      <x:c r="B27" s="28" t="str">
        <x:v>Optional</x:v>
      </x:c>
      <x:c r="C27" s="28" t="str">
        <x:v>Reduced-speed-of-light appendix</x:v>
      </x:c>
      <x:c r="D27" s="28" t="str">
        <x:v>730–739</x:v>
      </x:c>
      <x:c r="E27" s="28" t="str">
        <x:v>Reduced speed of light relaxes radiation-transport time-step costs.</x:v>
      </x:c>
      <x:c r="F27" s="28" t="str">
        <x:v>Immediately after this statement.</x:v>
      </x:c>
      <x:c r="G27" s="28" t="str">
        <x:v>S04 — Kannan et al. (2022)</x:v>
      </x:c>
      <x:c r="H27" s="28" t="str">
        <x:v>https://arxiv.org/abs/2110.00584</x:v>
      </x:c>
      <x:c r="I27" s="28" t="str">
        <x:v>Existing, needs correction</x:v>
      </x:c>
      <x:c r="J27" s="28" t="str">
        <x:v>Move/repeat the current citation so its scope is clear.</x:v>
      </x:c>
    </x:row>
  </x:sheetData>
  <x:mergeCells>
    <x:mergeCell ref="A1:J1"/>
    <x:mergeCell ref="A2:J2"/>
  </x:mergeCells>
  <x:conditionalFormatting sqref="B5:B27">
    <x:cfRule type="containsText" dxfId="4" priority="1" operator="containsText" text="Required"/>
    <x:cfRule type="containsText" dxfId="5" priority="2" operator="containsText" text="Recommended"/>
    <x:cfRule type="containsText" dxfId="6" priority="3" operator="containsText" text="Optional"/>
  </x:conditionalFormatting>
  <x:pageMargins left="0.7" right="0.7" top="0.75" bottom="0.75" header="0.3" footer="0.3"/>
  <x:tableParts count="1">
    <x:tablePart xmlns:r="http://schemas.openxmlformats.org/officeDocument/2006/relationships" r:id="R2a315c1efb5148f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100" hidden="0" customWidth="1"/>
    <x:col min="3" max="3" width="44" hidden="0" customWidth="1"/>
    <x:col min="4" max="4" width="48" hidden="0" customWidth="1"/>
  </x:cols>
  <x:sheetData>
    <x:row r="1" ht="28" customHeight="1">
      <x:c r="A1" s="19" t="str">
        <x:v>New Source Index</x:v>
      </x:c>
      <x:c r="B1" s="19"/>
      <x:c r="C1" s="19"/>
      <x:c r="D1" s="19"/>
    </x:row>
    <x:row r="2">
      <x:c r="A2" s="21" t="str">
        <x:v>Sources not yet fully available as valid, cited entries in apssamp.bib</x:v>
      </x:c>
    </x:row>
    <x:row r="4">
      <x:c r="A4" s="27" t="str">
        <x:v>ID</x:v>
      </x:c>
      <x:c r="B4" s="27" t="str">
        <x:v>Full APS/REVTeX reference</x:v>
      </x:c>
      <x:c r="C4" s="27" t="str">
        <x:v>Source link</x:v>
      </x:c>
      <x:c r="D4" s="27" t="str">
        <x:v>Best use</x:v>
      </x:c>
    </x:row>
    <x:row r="5" ht="54" customHeight="1">
      <x:c r="A5" s="28" t="str">
        <x:v>N01</x:v>
      </x:c>
      <x:c r="B5" s="28" t="str">
        <x:v>J. S. Bullock and M. Boylan-Kolchin, Small-Scale Challenges to the Lambda-CDM Paradigm, Annual Review of Astronomy and Astrophysics 55, 343–387 (2017), doi:10.1146/annurev-astro-091916-055313.</x:v>
      </x:c>
      <x:c r="C5" s="28" t="str">
        <x:v>https://arxiv.org/abs/1707.04256</x:v>
      </x:c>
      <x:c r="D5" s="28" t="str">
        <x:v>Broad CDM evidence and small-scale challenges.</x:v>
      </x:c>
    </x:row>
    <x:row r="6" ht="54" customHeight="1">
      <x:c r="A6" s="28" t="str">
        <x:v>N02</x:v>
      </x:c>
      <x:c r="B6" s="28" t="str">
        <x:v>V. Springel, E pur si muove: Galilean-invariant cosmological hydrodynamical simulations on a moving mesh, MNRAS 401, 791–851 (2010), doi:10.1111/j.1365-2966.2009.15715.x.</x:v>
      </x:c>
      <x:c r="C6" s="28" t="str">
        <x:v>https://arxiv.org/abs/0901.4107</x:v>
      </x:c>
      <x:c r="D6" s="28" t="str">
        <x:v>AREPO moving-Voronoi mesh representation.</x:v>
      </x:c>
    </x:row>
    <x:row r="7" ht="54" customHeight="1">
      <x:c r="A7" s="28" t="str">
        <x:v>N03</x:v>
      </x:c>
      <x:c r="B7" s="28" t="str">
        <x:v>Y. P. Jing, Correcting for the Alias Effect when Measuring the Power Spectrum Using a Fast Fourier Transform, ApJ 620, 559–563 (2005), doi:10.1086/427087.</x:v>
      </x:c>
      <x:c r="C7" s="28" t="str">
        <x:v>https://arxiv.org/abs/astro-ph/0409240</x:v>
      </x:c>
      <x:c r="D7" s="28" t="str">
        <x:v>CIC windows, grid assignment, aliasing, and power-spectrum estimation.</x:v>
      </x:c>
    </x:row>
    <x:row r="8" ht="54" customHeight="1">
      <x:c r="A8" s="28" t="str">
        <x:v>N04</x:v>
      </x:c>
      <x:c r="B8" s="28" t="str">
        <x:v>E. G. M. Ferreira, Ultra-light Dark Matter, The Astronomy and Astrophysics Review 29, 7 (2021), doi:10.1007/s00159-021-00135-6.</x:v>
      </x:c>
      <x:c r="C8" s="28" t="str">
        <x:v>https://arxiv.org/abs/1912.03148</x:v>
      </x:c>
      <x:c r="D8" s="28" t="str">
        <x:v>FDM context; already present as marsh2021ultralight.</x:v>
      </x:c>
    </x:row>
    <x:row r="9" ht="54" customHeight="1">
      <x:c r="A9" s="28" t="str">
        <x:v>N05</x:v>
      </x:c>
      <x:c r="B9" s="28" t="str">
        <x:v>F. Villaescusa-Navarro, Pylians: Python Libraries for the Analysis of Numerical Simulations, Astrophysics Source Code Library, ascl:1811.008 (2018).</x:v>
      </x:c>
      <x:c r="C9" s="28" t="str">
        <x:v>https://pylians3.readthedocs.io/en/master/citation.html</x:v>
      </x:c>
      <x:c r="D9" s="28" t="str">
        <x:v>Requested software citation for Pylians.</x:v>
      </x:c>
    </x:row>
    <x:row r="10" ht="54" customHeight="1">
      <x:c r="A10" s="28" t="str">
        <x:v>N06</x:v>
      </x:c>
      <x:c r="B10" s="28" t="str">
        <x:v>A. Rahmati, A. Pawlik, M. Raičević, and J. Schaye, On the Evolution of the H I Column Density Distribution in Cosmological Simulations, MNRAS 430, 2427–2445 (2013), doi:10.1093/mnras/stt066.</x:v>
      </x:c>
      <x:c r="C10" s="28" t="str">
        <x:v>https://arxiv.org/abs/1210.7808</x:v>
      </x:c>
      <x:c r="D10" s="28" t="str">
        <x:v>Self-shielding and IGM density selection.</x:v>
      </x:c>
    </x:row>
    <x:row r="11" ht="54" customHeight="1">
      <x:c r="A11" s="28" t="str">
        <x:v>N07</x:v>
      </x:c>
      <x:c r="B11" s="28" t="str">
        <x:v>S. Colombi, A. H. Jaffe, D. Novikov, and C. Pichon, Accurate Estimators of Power Spectra in N-body Simulations, MNRAS 393, 511–526 (2009), doi:10.1111/j.1365-2966.2008.14207.x.</x:v>
      </x:c>
      <x:c r="C11" s="28" t="str">
        <x:v>https://arxiv.org/abs/0811.0313</x:v>
      </x:c>
      <x:c r="D11" s="28" t="str">
        <x:v>Folding particle distributions for controlled high-k range.</x:v>
      </x:c>
    </x:row>
    <x:row r="12" ht="54" customHeight="1">
      <x:c r="A12" s="28" t="str">
        <x:v>N08</x:v>
      </x:c>
      <x:c r="B12" s="28" t="str">
        <x:v>D. A. Verner, G. J. Ferland, K. T. Korista, and D. G. Yakovlev, Atomic Data for Astrophysics. II. New Analytic Fits for Photoionization Cross Sections of Atoms and Ions, Atomic Data and Nuclear Data Tables 64, 1–103 (1996), doi:10.1006/adnd.1996.0001.</x:v>
      </x:c>
      <x:c r="C12" s="28" t="str">
        <x:v>https://doi.org/10.1006/adnd.1996.0001</x:v>
      </x:c>
      <x:c r="D12" s="28" t="str">
        <x:v>Hydrogen photoionization cross sections; no arXiv version located.</x:v>
      </x:c>
    </x:row>
  </x:sheetData>
  <x:mergeCells>
    <x:mergeCell ref="A1:D1"/>
    <x:mergeCell ref="A2:D2"/>
  </x:mergeCells>
  <x:pageMargins left="0.7" right="0.7" top="0.75" bottom="0.75" header="0.3" footer="0.3"/>
  <x:tableParts count="1">
    <x:tablePart xmlns:r="http://schemas.openxmlformats.org/officeDocument/2006/relationships" r:id="Rcc16f943db25440f"/>
  </x:tableParts>
</x:worksheet>
</file>